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bev\1TIN\data-Essentials\"/>
    </mc:Choice>
  </mc:AlternateContent>
  <xr:revisionPtr revIDLastSave="0" documentId="13_ncr:1_{23E0125C-F1EE-432D-AEB6-88E27482CFB8}" xr6:coauthVersionLast="47" xr6:coauthVersionMax="47" xr10:uidLastSave="{00000000-0000-0000-0000-000000000000}"/>
  <bookViews>
    <workbookView xWindow="-108" yWindow="-108" windowWidth="23256" windowHeight="12456" xr2:uid="{95BFD184-83E1-4D98-B16B-004BD6F55962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O7" i="2"/>
  <c r="O12" i="2" s="1"/>
  <c r="O15" i="2" s="1"/>
  <c r="L8" i="2"/>
  <c r="L10" i="2"/>
  <c r="L12" i="2" s="1"/>
  <c r="L19" i="2" l="1"/>
  <c r="L5" i="2"/>
  <c r="L3" i="2" s="1"/>
  <c r="J5" i="2" s="1"/>
</calcChain>
</file>

<file path=xl/sharedStrings.xml><?xml version="1.0" encoding="utf-8"?>
<sst xmlns="http://schemas.openxmlformats.org/spreadsheetml/2006/main" count="147" uniqueCount="62">
  <si>
    <t>plaats_van_oorsprong</t>
  </si>
  <si>
    <t>gewicht_container</t>
  </si>
  <si>
    <t>omschrijving_artikel</t>
  </si>
  <si>
    <t>eigenaar_nummer</t>
  </si>
  <si>
    <t>eigenaar_naam</t>
  </si>
  <si>
    <t>eigenaar_adres</t>
  </si>
  <si>
    <t>afvaart_nummer</t>
  </si>
  <si>
    <t>afvaart_datum</t>
  </si>
  <si>
    <t>aankomst_datum</t>
  </si>
  <si>
    <t>vertrek_plaats</t>
  </si>
  <si>
    <t>aankomst_plaats</t>
  </si>
  <si>
    <t>type_transport</t>
  </si>
  <si>
    <t>laad_ruimte</t>
  </si>
  <si>
    <t>artikel_code</t>
  </si>
  <si>
    <t>schip_naam</t>
  </si>
  <si>
    <t>schip_nummer</t>
  </si>
  <si>
    <t>inschrijvings_datum</t>
  </si>
  <si>
    <t>uitschrijvings_datum</t>
  </si>
  <si>
    <t>eigenaar_postcode</t>
  </si>
  <si>
    <t>eigenaar_gemeente</t>
  </si>
  <si>
    <t>container_code</t>
  </si>
  <si>
    <t>aantal_laad_ruimtes</t>
  </si>
  <si>
    <t>breekbaar</t>
  </si>
  <si>
    <t>NV1</t>
  </si>
  <si>
    <t>NV2</t>
  </si>
  <si>
    <t>NV3</t>
  </si>
  <si>
    <t>eigenaar_straat</t>
  </si>
  <si>
    <t>eigenaar_huisnummer</t>
  </si>
  <si>
    <t>NV0</t>
  </si>
  <si>
    <t>aantal dozen</t>
  </si>
  <si>
    <t>aantal paketjes</t>
  </si>
  <si>
    <t>aantal leden</t>
  </si>
  <si>
    <t>aantal paketjes voor de leden</t>
  </si>
  <si>
    <t>aantal voor tijdens activiteit</t>
  </si>
  <si>
    <t>vanile</t>
  </si>
  <si>
    <t>chocolade</t>
  </si>
  <si>
    <t>prijs</t>
  </si>
  <si>
    <t>totaal prijs vanile</t>
  </si>
  <si>
    <t>totaal prijs chocolade</t>
  </si>
  <si>
    <t>totaal prijs</t>
  </si>
  <si>
    <t>totaal aantal pakketjes</t>
  </si>
  <si>
    <t>totaal inkomste</t>
  </si>
  <si>
    <t>winst</t>
  </si>
  <si>
    <t>aantal wafels 1 doos</t>
  </si>
  <si>
    <t>totaal aantal wafels</t>
  </si>
  <si>
    <t>aantal wafels per zakje</t>
  </si>
  <si>
    <t>SCHEPEN</t>
  </si>
  <si>
    <t>EIGENAARS</t>
  </si>
  <si>
    <t>GEMEENTE</t>
  </si>
  <si>
    <t>gemeente</t>
  </si>
  <si>
    <t>AFVAARTEN</t>
  </si>
  <si>
    <t>CONTEINERS</t>
  </si>
  <si>
    <t>ARTIKELEN</t>
  </si>
  <si>
    <t>postcode</t>
  </si>
  <si>
    <t>VRACHTEN</t>
  </si>
  <si>
    <t>PK</t>
  </si>
  <si>
    <t>FK: eigenaars (eigenaarsnummer)</t>
  </si>
  <si>
    <t>FK:Gemeente(eigenaar_postcode)</t>
  </si>
  <si>
    <t>FK:ARTIKELEN(artikel_code)</t>
  </si>
  <si>
    <t>FK:SCHEPEN(schip_nummer)</t>
  </si>
  <si>
    <t>PK - FK:AFVAARTEN(afvaart_nummer)</t>
  </si>
  <si>
    <t>PK - FK:CONTAINERS(container_code)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</si>
</sst>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CF9D-FF3C-44CA-AC10-9E2CC0A3F539}">
  <dimension ref="A1:H44"/>
  <sheetViews>
    <sheetView tabSelected="1" topLeftCell="A13" workbookViewId="0">
      <selection activeCell="H35" sqref="H35"/>
    </sheetView>
  </sheetViews>
  <sheetFormatPr defaultRowHeight="14.4" x14ac:dyDescent="0.3"/>
  <cols>
    <col min="1" max="1" width="18.5546875" bestFit="1" customWidth="1"/>
    <col min="3" max="3" width="17.5546875" bestFit="1" customWidth="1"/>
    <col min="5" max="5" width="19.109375" bestFit="1" customWidth="1"/>
    <col min="7" max="7" width="19.109375" bestFit="1" customWidth="1"/>
    <col min="8" max="8" width="31.5546875" bestFit="1" customWidth="1"/>
  </cols>
  <sheetData>
    <row r="1" spans="1:8" x14ac:dyDescent="0.3">
      <c r="A1" t="s">
        <v>28</v>
      </c>
      <c r="C1" t="s">
        <v>23</v>
      </c>
      <c r="E1" t="s">
        <v>24</v>
      </c>
      <c r="G1" t="s">
        <v>25</v>
      </c>
    </row>
    <row r="2" spans="1:8" x14ac:dyDescent="0.3">
      <c r="A2" s="3" t="s">
        <v>14</v>
      </c>
      <c r="C2" t="s">
        <v>14</v>
      </c>
      <c r="E2" t="s">
        <v>14</v>
      </c>
      <c r="G2" t="s">
        <v>46</v>
      </c>
    </row>
    <row r="3" spans="1:8" x14ac:dyDescent="0.3">
      <c r="A3" s="2" t="s">
        <v>15</v>
      </c>
      <c r="C3" s="1" t="s">
        <v>15</v>
      </c>
      <c r="E3" s="1" t="s">
        <v>15</v>
      </c>
      <c r="G3" s="1" t="s">
        <v>15</v>
      </c>
      <c r="H3" t="s">
        <v>55</v>
      </c>
    </row>
    <row r="4" spans="1:8" x14ac:dyDescent="0.3">
      <c r="A4" s="3" t="s">
        <v>16</v>
      </c>
      <c r="C4" t="s">
        <v>16</v>
      </c>
      <c r="E4" t="s">
        <v>16</v>
      </c>
      <c r="G4" t="s">
        <v>14</v>
      </c>
    </row>
    <row r="5" spans="1:8" x14ac:dyDescent="0.3">
      <c r="A5" s="3" t="s">
        <v>17</v>
      </c>
      <c r="C5" t="s">
        <v>17</v>
      </c>
      <c r="E5" t="s">
        <v>17</v>
      </c>
      <c r="G5" t="s">
        <v>16</v>
      </c>
    </row>
    <row r="6" spans="1:8" x14ac:dyDescent="0.3">
      <c r="A6" s="3" t="s">
        <v>3</v>
      </c>
      <c r="C6" t="s">
        <v>21</v>
      </c>
      <c r="E6" t="s">
        <v>21</v>
      </c>
      <c r="G6" t="s">
        <v>17</v>
      </c>
    </row>
    <row r="7" spans="1:8" x14ac:dyDescent="0.3">
      <c r="A7" s="3" t="s">
        <v>4</v>
      </c>
      <c r="C7" s="4" t="s">
        <v>3</v>
      </c>
      <c r="E7" s="4" t="s">
        <v>3</v>
      </c>
      <c r="G7" t="s">
        <v>21</v>
      </c>
    </row>
    <row r="8" spans="1:8" x14ac:dyDescent="0.3">
      <c r="A8" s="3" t="s">
        <v>5</v>
      </c>
      <c r="C8" t="s">
        <v>4</v>
      </c>
      <c r="E8" t="s">
        <v>4</v>
      </c>
      <c r="G8" s="4" t="s">
        <v>3</v>
      </c>
      <c r="H8" s="4" t="s">
        <v>56</v>
      </c>
    </row>
    <row r="9" spans="1:8" x14ac:dyDescent="0.3">
      <c r="A9" s="3" t="s">
        <v>18</v>
      </c>
      <c r="C9" t="s">
        <v>26</v>
      </c>
      <c r="E9" t="s">
        <v>26</v>
      </c>
    </row>
    <row r="10" spans="1:8" x14ac:dyDescent="0.3">
      <c r="A10" s="3" t="s">
        <v>19</v>
      </c>
      <c r="C10" t="s">
        <v>27</v>
      </c>
      <c r="E10" t="s">
        <v>27</v>
      </c>
      <c r="G10" t="s">
        <v>47</v>
      </c>
    </row>
    <row r="11" spans="1:8" x14ac:dyDescent="0.3">
      <c r="A11" s="5" t="s">
        <v>6</v>
      </c>
      <c r="C11" t="s">
        <v>18</v>
      </c>
      <c r="E11" t="s">
        <v>18</v>
      </c>
      <c r="G11" s="1" t="s">
        <v>3</v>
      </c>
      <c r="H11" t="s">
        <v>55</v>
      </c>
    </row>
    <row r="12" spans="1:8" x14ac:dyDescent="0.3">
      <c r="A12" s="3" t="s">
        <v>7</v>
      </c>
      <c r="C12" t="s">
        <v>19</v>
      </c>
      <c r="E12" t="s">
        <v>19</v>
      </c>
      <c r="G12" t="s">
        <v>4</v>
      </c>
    </row>
    <row r="13" spans="1:8" x14ac:dyDescent="0.3">
      <c r="A13" s="3" t="s">
        <v>8</v>
      </c>
      <c r="G13" t="s">
        <v>26</v>
      </c>
    </row>
    <row r="14" spans="1:8" x14ac:dyDescent="0.3">
      <c r="A14" s="3" t="s">
        <v>9</v>
      </c>
      <c r="C14" s="4" t="s">
        <v>15</v>
      </c>
      <c r="E14" s="4" t="s">
        <v>15</v>
      </c>
      <c r="G14" t="s">
        <v>27</v>
      </c>
    </row>
    <row r="15" spans="1:8" x14ac:dyDescent="0.3">
      <c r="A15" s="3" t="s">
        <v>10</v>
      </c>
      <c r="C15" s="1" t="s">
        <v>6</v>
      </c>
      <c r="E15" s="1" t="s">
        <v>6</v>
      </c>
      <c r="G15" t="s">
        <v>18</v>
      </c>
      <c r="H15" t="s">
        <v>57</v>
      </c>
    </row>
    <row r="16" spans="1:8" x14ac:dyDescent="0.3">
      <c r="A16" s="5" t="s">
        <v>20</v>
      </c>
      <c r="C16" t="s">
        <v>7</v>
      </c>
      <c r="E16" t="s">
        <v>7</v>
      </c>
    </row>
    <row r="17" spans="1:8" x14ac:dyDescent="0.3">
      <c r="A17" s="3" t="s">
        <v>11</v>
      </c>
      <c r="C17" t="s">
        <v>8</v>
      </c>
      <c r="E17" t="s">
        <v>8</v>
      </c>
      <c r="G17" t="s">
        <v>48</v>
      </c>
    </row>
    <row r="18" spans="1:8" x14ac:dyDescent="0.3">
      <c r="A18" s="3" t="s">
        <v>12</v>
      </c>
      <c r="C18" t="s">
        <v>9</v>
      </c>
      <c r="E18" t="s">
        <v>9</v>
      </c>
      <c r="G18" s="1" t="s">
        <v>53</v>
      </c>
      <c r="H18" t="s">
        <v>55</v>
      </c>
    </row>
    <row r="19" spans="1:8" x14ac:dyDescent="0.3">
      <c r="A19" s="3" t="s">
        <v>21</v>
      </c>
      <c r="C19" t="s">
        <v>10</v>
      </c>
      <c r="E19" t="s">
        <v>10</v>
      </c>
      <c r="G19" t="s">
        <v>49</v>
      </c>
    </row>
    <row r="20" spans="1:8" x14ac:dyDescent="0.3">
      <c r="A20" s="5" t="s">
        <v>13</v>
      </c>
    </row>
    <row r="21" spans="1:8" x14ac:dyDescent="0.3">
      <c r="A21" s="3" t="s">
        <v>2</v>
      </c>
      <c r="C21" s="1" t="s">
        <v>6</v>
      </c>
      <c r="E21" s="1" t="s">
        <v>6</v>
      </c>
      <c r="G21" t="s">
        <v>50</v>
      </c>
    </row>
    <row r="22" spans="1:8" x14ac:dyDescent="0.3">
      <c r="A22" s="3" t="s">
        <v>0</v>
      </c>
      <c r="C22" s="6" t="s">
        <v>20</v>
      </c>
      <c r="E22" s="1" t="s">
        <v>20</v>
      </c>
      <c r="G22" s="1" t="s">
        <v>6</v>
      </c>
      <c r="H22" t="s">
        <v>55</v>
      </c>
    </row>
    <row r="23" spans="1:8" x14ac:dyDescent="0.3">
      <c r="A23" s="3" t="s">
        <v>1</v>
      </c>
      <c r="C23" s="7" t="s">
        <v>11</v>
      </c>
      <c r="E23" s="4" t="s">
        <v>13</v>
      </c>
      <c r="G23" s="4" t="s">
        <v>15</v>
      </c>
      <c r="H23" s="4" t="s">
        <v>59</v>
      </c>
    </row>
    <row r="24" spans="1:8" x14ac:dyDescent="0.3">
      <c r="A24" s="3" t="s">
        <v>22</v>
      </c>
      <c r="C24" s="4" t="s">
        <v>13</v>
      </c>
      <c r="E24" t="s">
        <v>2</v>
      </c>
      <c r="G24" t="s">
        <v>7</v>
      </c>
    </row>
    <row r="25" spans="1:8" x14ac:dyDescent="0.3">
      <c r="C25" t="s">
        <v>2</v>
      </c>
      <c r="E25" t="s">
        <v>0</v>
      </c>
      <c r="G25" t="s">
        <v>8</v>
      </c>
    </row>
    <row r="26" spans="1:8" x14ac:dyDescent="0.3">
      <c r="C26" t="s">
        <v>0</v>
      </c>
      <c r="E26" t="s">
        <v>22</v>
      </c>
      <c r="G26" t="s">
        <v>9</v>
      </c>
    </row>
    <row r="27" spans="1:8" x14ac:dyDescent="0.3">
      <c r="C27" t="s">
        <v>22</v>
      </c>
      <c r="E27" t="s">
        <v>12</v>
      </c>
      <c r="G27" t="s">
        <v>10</v>
      </c>
    </row>
    <row r="28" spans="1:8" x14ac:dyDescent="0.3">
      <c r="C28" t="s">
        <v>12</v>
      </c>
      <c r="E28" t="s">
        <v>1</v>
      </c>
    </row>
    <row r="29" spans="1:8" x14ac:dyDescent="0.3">
      <c r="C29" t="s">
        <v>1</v>
      </c>
      <c r="G29" t="s">
        <v>51</v>
      </c>
    </row>
    <row r="30" spans="1:8" x14ac:dyDescent="0.3">
      <c r="E30" s="1" t="s">
        <v>20</v>
      </c>
      <c r="G30" s="1" t="s">
        <v>20</v>
      </c>
      <c r="H30" t="s">
        <v>55</v>
      </c>
    </row>
    <row r="31" spans="1:8" x14ac:dyDescent="0.3">
      <c r="E31" t="s">
        <v>11</v>
      </c>
      <c r="G31" t="s">
        <v>11</v>
      </c>
    </row>
    <row r="33" spans="7:8" x14ac:dyDescent="0.3">
      <c r="G33" t="s">
        <v>54</v>
      </c>
    </row>
    <row r="34" spans="7:8" x14ac:dyDescent="0.3">
      <c r="G34" s="1" t="s">
        <v>6</v>
      </c>
      <c r="H34" t="s">
        <v>60</v>
      </c>
    </row>
    <row r="35" spans="7:8" x14ac:dyDescent="0.3">
      <c r="G35" s="1" t="s">
        <v>20</v>
      </c>
      <c r="H35" t="s">
        <v>61</v>
      </c>
    </row>
    <row r="36" spans="7:8" x14ac:dyDescent="0.3">
      <c r="G36" s="4" t="s">
        <v>13</v>
      </c>
      <c r="H36" t="s">
        <v>58</v>
      </c>
    </row>
    <row r="37" spans="7:8" x14ac:dyDescent="0.3">
      <c r="G37" t="s">
        <v>12</v>
      </c>
    </row>
    <row r="38" spans="7:8" x14ac:dyDescent="0.3">
      <c r="G38" t="s">
        <v>1</v>
      </c>
    </row>
    <row r="40" spans="7:8" x14ac:dyDescent="0.3">
      <c r="G40" t="s">
        <v>52</v>
      </c>
    </row>
    <row r="41" spans="7:8" x14ac:dyDescent="0.3">
      <c r="G41" s="1" t="s">
        <v>13</v>
      </c>
      <c r="H41" t="s">
        <v>55</v>
      </c>
    </row>
    <row r="42" spans="7:8" x14ac:dyDescent="0.3">
      <c r="G42" t="s">
        <v>2</v>
      </c>
    </row>
    <row r="43" spans="7:8" x14ac:dyDescent="0.3">
      <c r="G43" t="s">
        <v>22</v>
      </c>
    </row>
    <row r="44" spans="7:8" x14ac:dyDescent="0.3">
      <c r="G4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4A30-7AA6-4D29-87E5-E8E8C209B3AA}">
  <dimension ref="J2:O19"/>
  <sheetViews>
    <sheetView workbookViewId="0">
      <selection activeCell="J11" sqref="J11"/>
    </sheetView>
  </sheetViews>
  <sheetFormatPr defaultRowHeight="14.4" x14ac:dyDescent="0.3"/>
  <sheetData>
    <row r="2" spans="10:15" x14ac:dyDescent="0.3">
      <c r="J2" t="s">
        <v>43</v>
      </c>
      <c r="L2" t="s">
        <v>44</v>
      </c>
      <c r="O2" t="s">
        <v>45</v>
      </c>
    </row>
    <row r="3" spans="10:15" x14ac:dyDescent="0.3">
      <c r="J3">
        <f>18</f>
        <v>18</v>
      </c>
      <c r="L3">
        <f>L5*O3</f>
        <v>480</v>
      </c>
      <c r="O3">
        <v>3</v>
      </c>
    </row>
    <row r="4" spans="10:15" x14ac:dyDescent="0.3">
      <c r="J4" t="s">
        <v>29</v>
      </c>
      <c r="L4" t="s">
        <v>30</v>
      </c>
      <c r="O4" t="s">
        <v>31</v>
      </c>
    </row>
    <row r="5" spans="10:15" x14ac:dyDescent="0.3">
      <c r="J5">
        <f>L3/J3</f>
        <v>26.666666666666668</v>
      </c>
      <c r="L5">
        <f>O7+O9</f>
        <v>160</v>
      </c>
      <c r="O5">
        <v>13</v>
      </c>
    </row>
    <row r="6" spans="10:15" x14ac:dyDescent="0.3">
      <c r="O6" t="s">
        <v>32</v>
      </c>
    </row>
    <row r="7" spans="10:15" x14ac:dyDescent="0.3">
      <c r="J7" t="s">
        <v>34</v>
      </c>
      <c r="K7" t="s">
        <v>36</v>
      </c>
      <c r="L7" t="s">
        <v>37</v>
      </c>
      <c r="O7">
        <f>O5*10</f>
        <v>130</v>
      </c>
    </row>
    <row r="8" spans="10:15" x14ac:dyDescent="0.3">
      <c r="J8">
        <v>10</v>
      </c>
      <c r="K8">
        <v>3.56</v>
      </c>
      <c r="L8">
        <f>K8*J8</f>
        <v>35.6</v>
      </c>
      <c r="O8" t="s">
        <v>33</v>
      </c>
    </row>
    <row r="9" spans="10:15" x14ac:dyDescent="0.3">
      <c r="J9" t="s">
        <v>35</v>
      </c>
      <c r="K9" t="s">
        <v>36</v>
      </c>
      <c r="L9" t="s">
        <v>38</v>
      </c>
      <c r="O9">
        <v>30</v>
      </c>
    </row>
    <row r="10" spans="10:15" x14ac:dyDescent="0.3">
      <c r="J10">
        <v>17</v>
      </c>
      <c r="K10">
        <v>3.87</v>
      </c>
      <c r="L10">
        <f>K10*J10</f>
        <v>65.790000000000006</v>
      </c>
    </row>
    <row r="11" spans="10:15" x14ac:dyDescent="0.3">
      <c r="L11" t="s">
        <v>39</v>
      </c>
      <c r="O11" t="s">
        <v>40</v>
      </c>
    </row>
    <row r="12" spans="10:15" x14ac:dyDescent="0.3">
      <c r="L12">
        <f>L8+L10</f>
        <v>101.39000000000001</v>
      </c>
      <c r="O12">
        <f>O9+O7</f>
        <v>160</v>
      </c>
    </row>
    <row r="14" spans="10:15" x14ac:dyDescent="0.3">
      <c r="O14" t="s">
        <v>41</v>
      </c>
    </row>
    <row r="15" spans="10:15" x14ac:dyDescent="0.3">
      <c r="O15">
        <f>O12*5</f>
        <v>800</v>
      </c>
    </row>
    <row r="18" spans="12:12" x14ac:dyDescent="0.3">
      <c r="L18" t="s">
        <v>42</v>
      </c>
    </row>
    <row r="19" spans="12:12" x14ac:dyDescent="0.3">
      <c r="L19">
        <f>O15-L12</f>
        <v>698.61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Vandeput</dc:creator>
  <cp:lastModifiedBy>Kobe Vandeput</cp:lastModifiedBy>
  <dcterms:created xsi:type="dcterms:W3CDTF">2025-11-08T10:23:09Z</dcterms:created>
  <dcterms:modified xsi:type="dcterms:W3CDTF">2025-11-08T11:55:00Z</dcterms:modified>
</cp:coreProperties>
</file>